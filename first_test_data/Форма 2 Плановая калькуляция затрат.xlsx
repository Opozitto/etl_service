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Мои документы\Согласование цен с ВП МО (РКМ)\2022 год\03.  РКМ для план. (фикс.) цены на 2023 год\Новый расчет (23.10.2023)\"/>
    </mc:Choice>
  </mc:AlternateContent>
  <xr:revisionPtr revIDLastSave="0" documentId="13_ncr:1_{B3E998E6-FED8-43E0-B58F-5E47F019D0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ф2 " sheetId="3" r:id="rId1"/>
  </sheets>
  <definedNames>
    <definedName name="_ftn1" localSheetId="0">'ф2 '!$B$56</definedName>
    <definedName name="_ftnref1" localSheetId="0">'ф2 '!#REF!</definedName>
    <definedName name="TR10B" localSheetId="0">#REF!</definedName>
    <definedName name="TR10B">#REF!</definedName>
    <definedName name="TR10EXP" localSheetId="0">#REF!</definedName>
    <definedName name="TR10EXP">#REF!</definedName>
    <definedName name="TR10PSZ" localSheetId="0">#REF!</definedName>
    <definedName name="TR10PSZ">#REF!</definedName>
    <definedName name="TR10S" localSheetId="0">#REF!</definedName>
    <definedName name="TR10S">#REF!</definedName>
    <definedName name="TR10ST" localSheetId="0">#REF!</definedName>
    <definedName name="TR10ST">#REF!</definedName>
    <definedName name="TR10Y" localSheetId="0">#REF!</definedName>
    <definedName name="TR10Y">#REF!</definedName>
    <definedName name="TR11B" localSheetId="0">#REF!</definedName>
    <definedName name="TR11B">#REF!</definedName>
    <definedName name="TR11PSZ" localSheetId="0">#REF!</definedName>
    <definedName name="TR11PSZ">#REF!</definedName>
    <definedName name="TR11S" localSheetId="0">#REF!</definedName>
    <definedName name="TR11S">#REF!</definedName>
    <definedName name="TR11ST" localSheetId="0">#REF!</definedName>
    <definedName name="TR11ST">#REF!</definedName>
    <definedName name="TR11Y" localSheetId="0">#REF!</definedName>
    <definedName name="TR11Y">#REF!</definedName>
    <definedName name="TR12B" localSheetId="0">#REF!</definedName>
    <definedName name="TR12B">#REF!</definedName>
    <definedName name="TR12EXP" localSheetId="0">#REF!</definedName>
    <definedName name="TR12EXP">#REF!</definedName>
    <definedName name="TR12PSZ" localSheetId="0">#REF!</definedName>
    <definedName name="TR12PSZ">#REF!</definedName>
    <definedName name="TR12S" localSheetId="0">#REF!</definedName>
    <definedName name="TR12S">#REF!</definedName>
    <definedName name="TR12ST" localSheetId="0">#REF!</definedName>
    <definedName name="TR12ST">#REF!</definedName>
    <definedName name="TR12Y" localSheetId="0">#REF!</definedName>
    <definedName name="TR12Y">#REF!</definedName>
    <definedName name="TR15B" localSheetId="0">#REF!</definedName>
    <definedName name="TR15B">#REF!</definedName>
    <definedName name="TR15EXP" localSheetId="0">#REF!</definedName>
    <definedName name="TR15EXP">#REF!</definedName>
    <definedName name="TR15PSZ" localSheetId="0">#REF!</definedName>
    <definedName name="TR15PSZ">#REF!</definedName>
    <definedName name="TR15S" localSheetId="0">#REF!</definedName>
    <definedName name="TR15S">#REF!</definedName>
    <definedName name="TR15ST" localSheetId="0">#REF!</definedName>
    <definedName name="TR15ST">#REF!</definedName>
    <definedName name="TR15Y" localSheetId="0">#REF!</definedName>
    <definedName name="TR15Y">#REF!</definedName>
    <definedName name="TR1EXP" localSheetId="0">#REF!</definedName>
    <definedName name="TR1EXP">#REF!</definedName>
    <definedName name="TR20B" localSheetId="0">#REF!</definedName>
    <definedName name="TR20B">#REF!</definedName>
    <definedName name="TR20EXP" localSheetId="0">#REF!</definedName>
    <definedName name="TR20EXP">#REF!</definedName>
    <definedName name="TR20PSZ" localSheetId="0">#REF!</definedName>
    <definedName name="TR20PSZ">#REF!</definedName>
    <definedName name="TR20S" localSheetId="0">#REF!</definedName>
    <definedName name="TR20S">#REF!</definedName>
    <definedName name="TR20ST" localSheetId="0">#REF!</definedName>
    <definedName name="TR20ST">#REF!</definedName>
    <definedName name="TR20Y" localSheetId="0">#REF!</definedName>
    <definedName name="TR20Y">#REF!</definedName>
    <definedName name="TR21Y" localSheetId="0">#REF!</definedName>
    <definedName name="TR21Y">#REF!</definedName>
    <definedName name="TR23B" localSheetId="0">#REF!</definedName>
    <definedName name="TR23B">#REF!</definedName>
    <definedName name="TR23EXP" localSheetId="0">#REF!</definedName>
    <definedName name="TR23EXP">#REF!</definedName>
    <definedName name="TR23PSZ" localSheetId="0">#REF!</definedName>
    <definedName name="TR23PSZ">#REF!</definedName>
    <definedName name="TR23S" localSheetId="0">#REF!</definedName>
    <definedName name="TR23S">#REF!</definedName>
    <definedName name="TR23ST" localSheetId="0">#REF!</definedName>
    <definedName name="TR23ST">#REF!</definedName>
    <definedName name="TR23Y" localSheetId="0">#REF!</definedName>
    <definedName name="TR23Y">#REF!</definedName>
    <definedName name="TR8B" localSheetId="0">#REF!</definedName>
    <definedName name="TR8B">#REF!</definedName>
    <definedName name="TR8EXP" localSheetId="0">#REF!</definedName>
    <definedName name="TR8EXP">#REF!</definedName>
    <definedName name="TR8PSZ" localSheetId="0">#REF!</definedName>
    <definedName name="TR8PSZ">#REF!</definedName>
    <definedName name="TR8S" localSheetId="0">#REF!</definedName>
    <definedName name="TR8S">#REF!</definedName>
    <definedName name="TR8ST" localSheetId="0">#REF!</definedName>
    <definedName name="TR8ST">#REF!</definedName>
    <definedName name="TR8Y" localSheetId="0">#REF!</definedName>
    <definedName name="TR8Y">#REF!</definedName>
    <definedName name="TR9B" localSheetId="0">#REF!</definedName>
    <definedName name="TR9B">#REF!</definedName>
    <definedName name="TR9EXP" localSheetId="0">#REF!</definedName>
    <definedName name="TR9EXP">#REF!</definedName>
    <definedName name="TR9PSZ" localSheetId="0">#REF!</definedName>
    <definedName name="TR9PSZ">#REF!</definedName>
    <definedName name="TR9S" localSheetId="0">#REF!</definedName>
    <definedName name="TR9S">#REF!</definedName>
    <definedName name="TR9ST" localSheetId="0">#REF!</definedName>
    <definedName name="TR9ST">#REF!</definedName>
    <definedName name="TR9Y" localSheetId="0">#REF!</definedName>
    <definedName name="TR9Y">#REF!</definedName>
    <definedName name="TRUD1" localSheetId="0">#REF!</definedName>
    <definedName name="TRUD1">#REF!</definedName>
    <definedName name="TRUD1_EXP" localSheetId="0">#REF!</definedName>
    <definedName name="TRUD1_EXP">#REF!</definedName>
    <definedName name="_xlnm.Print_Area" localSheetId="0">'ф2 '!$A$1:$H$65</definedName>
    <definedName name="юбь" localSheetId="0">#REF!</definedName>
    <definedName name="юбь">#REF!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3" l="1"/>
  <c r="D54" i="3"/>
  <c r="D55" i="3" l="1"/>
  <c r="D68" i="3" s="1"/>
  <c r="D19" i="3"/>
  <c r="D48" i="3" s="1"/>
  <c r="D52" i="3" s="1"/>
  <c r="D56" i="3" s="1"/>
  <c r="D67" i="3" s="1"/>
</calcChain>
</file>

<file path=xl/sharedStrings.xml><?xml version="1.0" encoding="utf-8"?>
<sst xmlns="http://schemas.openxmlformats.org/spreadsheetml/2006/main" count="327" uniqueCount="106">
  <si>
    <t>Форма № 2</t>
  </si>
  <si>
    <t>Плановая калькуляция затрат</t>
  </si>
  <si>
    <t>на 2023 год</t>
  </si>
  <si>
    <t>Наименование товара, работы, услуги</t>
  </si>
  <si>
    <t xml:space="preserve">Нить Руслан 29,4 (200)-А-А-1 </t>
  </si>
  <si>
    <t>Код по ОКП/ОКПД2 (шифр)</t>
  </si>
  <si>
    <t>20.60</t>
  </si>
  <si>
    <t>Код по ЕКПС (при наличии)</t>
  </si>
  <si>
    <t>-</t>
  </si>
  <si>
    <t>ФНН (при наличии)</t>
  </si>
  <si>
    <t>Калькуляционная единица</t>
  </si>
  <si>
    <t>тонна</t>
  </si>
  <si>
    <t xml:space="preserve">(штука, комплект, этап, единица работы (услуги), иное)        </t>
  </si>
  <si>
    <t>Техническая документация</t>
  </si>
  <si>
    <t>ТУ 2272-036-51605609-2010</t>
  </si>
  <si>
    <t>(ТУ, ТЗ, КД, ГОСТ, иное) орган и дата утверждения</t>
  </si>
  <si>
    <t>(руб.)</t>
  </si>
  <si>
    <t>№№
строк</t>
  </si>
  <si>
    <t>Наименование статей калькуляции</t>
  </si>
  <si>
    <t xml:space="preserve"> Плановые затраты, согласованные государственным заказчиком (заказчиком) при формировании цены государственного контракта (контракта) по ориентировочной (уточняемой) цене / возмещающей издержки цене</t>
  </si>
  <si>
    <t>Предложено организацией-поставщиком
(подрядчиком, исполнителем)</t>
  </si>
  <si>
    <t>Принято государственным заказчиком / заказчиком</t>
  </si>
  <si>
    <t>Примечание</t>
  </si>
  <si>
    <t>Всего (предлож. предпр.)</t>
  </si>
  <si>
    <r>
      <t>в том числе</t>
    </r>
    <r>
      <rPr>
        <sz val="10"/>
        <color theme="1"/>
        <rFont val="Times New Roman"/>
        <family val="1"/>
        <charset val="204"/>
      </rPr>
      <t>:</t>
    </r>
  </si>
  <si>
    <t>затраты
(на __.__.____ г.)</t>
  </si>
  <si>
    <r>
      <t xml:space="preserve">плановые затраты
</t>
    </r>
    <r>
      <rPr>
        <sz val="9"/>
        <color theme="1"/>
        <rFont val="Times New Roman"/>
        <family val="1"/>
        <charset val="204"/>
      </rPr>
      <t>(с __.__.____ г.                         по __.__.____ г.)</t>
    </r>
  </si>
  <si>
    <r>
      <t xml:space="preserve">1 </t>
    </r>
    <r>
      <rPr>
        <vertAlign val="superscript"/>
        <sz val="10"/>
        <color theme="1"/>
        <rFont val="Times New Roman"/>
        <family val="1"/>
        <charset val="204"/>
      </rPr>
      <t>3</t>
    </r>
  </si>
  <si>
    <t>4.1</t>
  </si>
  <si>
    <t>4.2</t>
  </si>
  <si>
    <t>0100</t>
  </si>
  <si>
    <t>Материальные затраты - всего:</t>
  </si>
  <si>
    <t xml:space="preserve">   в том числе:</t>
  </si>
  <si>
    <t>0101</t>
  </si>
  <si>
    <t xml:space="preserve">   приобретение сырья, материалов и вспомогательных материалов</t>
  </si>
  <si>
    <t>0102</t>
  </si>
  <si>
    <t xml:space="preserve">   приобретение полуфабрикатов</t>
  </si>
  <si>
    <t>0103</t>
  </si>
  <si>
    <t xml:space="preserve">   возвратные отходы</t>
  </si>
  <si>
    <t>0104</t>
  </si>
  <si>
    <t xml:space="preserve">   приобретение комплектующих изделий</t>
  </si>
  <si>
    <t>0105</t>
  </si>
  <si>
    <t xml:space="preserve">   оплата работ и услуг сторонних организаций производственного характера </t>
  </si>
  <si>
    <t>0106</t>
  </si>
  <si>
    <t xml:space="preserve">   транспортно-заготовительные затраты</t>
  </si>
  <si>
    <t>0107</t>
  </si>
  <si>
    <t xml:space="preserve">   топливо на технологические цели</t>
  </si>
  <si>
    <t>0108</t>
  </si>
  <si>
    <t xml:space="preserve">   энергия на технологические цели</t>
  </si>
  <si>
    <t>0109</t>
  </si>
  <si>
    <t xml:space="preserve">   тара и упаковка</t>
  </si>
  <si>
    <t>0110</t>
  </si>
  <si>
    <t xml:space="preserve">   затраты на изделия собственного производства</t>
  </si>
  <si>
    <t>0200</t>
  </si>
  <si>
    <t>Затраты на оплату труда - всего:</t>
  </si>
  <si>
    <t>0201</t>
  </si>
  <si>
    <t xml:space="preserve">   основная заработная плата</t>
  </si>
  <si>
    <t>0202</t>
  </si>
  <si>
    <t xml:space="preserve">   дополнительная заработная плата</t>
  </si>
  <si>
    <t>0300</t>
  </si>
  <si>
    <t>Страховые взносы на обязательное социальное страхование</t>
  </si>
  <si>
    <t>0400</t>
  </si>
  <si>
    <t>Затраты на подготовку и освоение производства - всего:</t>
  </si>
  <si>
    <t>0401</t>
  </si>
  <si>
    <t xml:space="preserve">   пусковые затраты</t>
  </si>
  <si>
    <t>0402</t>
  </si>
  <si>
    <t xml:space="preserve">   затраты на подготовку и освоение новых видов продукции </t>
  </si>
  <si>
    <t>0500</t>
  </si>
  <si>
    <t>Затраты на специальную технологическую оснастку</t>
  </si>
  <si>
    <t>0600</t>
  </si>
  <si>
    <t>Затраты на специальное оборудование для научных (экспериментальных) работ</t>
  </si>
  <si>
    <t>0700</t>
  </si>
  <si>
    <t>Специальные затраты</t>
  </si>
  <si>
    <t>0800</t>
  </si>
  <si>
    <t>Общепроизводственные затраты</t>
  </si>
  <si>
    <t>0900</t>
  </si>
  <si>
    <t xml:space="preserve">Общехозяйственные затраты </t>
  </si>
  <si>
    <t>1000</t>
  </si>
  <si>
    <t>Затраты на командировки</t>
  </si>
  <si>
    <t>1100</t>
  </si>
  <si>
    <t>Прочие прямые затраты</t>
  </si>
  <si>
    <t>1200</t>
  </si>
  <si>
    <t>Затраты по работам (услугам), выполняемым (оказываемым) сторонними организациями</t>
  </si>
  <si>
    <t>1300</t>
  </si>
  <si>
    <t>Производственная себестоимость</t>
  </si>
  <si>
    <t>1400</t>
  </si>
  <si>
    <t>Коммерческие (внепроизводственные) затраты</t>
  </si>
  <si>
    <t>1500</t>
  </si>
  <si>
    <t>Проценты по кредитам</t>
  </si>
  <si>
    <t>1600</t>
  </si>
  <si>
    <t>Административно-управленческие расходы</t>
  </si>
  <si>
    <t>1700</t>
  </si>
  <si>
    <t>Себестоимость продукции</t>
  </si>
  <si>
    <t xml:space="preserve">   привнесенные затраты </t>
  </si>
  <si>
    <t xml:space="preserve">   собственные затраты</t>
  </si>
  <si>
    <t>1800</t>
  </si>
  <si>
    <t>Прибыль</t>
  </si>
  <si>
    <t>х</t>
  </si>
  <si>
    <t>1900</t>
  </si>
  <si>
    <t>Цена продукции (без НДС)</t>
  </si>
  <si>
    <t>Трудоемкость (нормо/час)</t>
  </si>
  <si>
    <t>Начальник экономического отдела АО "Каменскволокно"</t>
  </si>
  <si>
    <t>__________     М.С. Сорочинский</t>
  </si>
  <si>
    <t xml:space="preserve">   (Ф.И.О.)</t>
  </si>
  <si>
    <t>"____" ___________ 20 ___ г.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</si>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</sst>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71">
    <xf numFmtId="0" fontId="0" fillId="0" borderId="0" xfId="0"/>
    <xf numFmtId="0" fontId="4" fillId="0" borderId="0" xfId="1" applyFont="1"/>
    <xf numFmtId="0" fontId="4" fillId="0" borderId="0" xfId="1" applyFont="1" applyAlignment="1">
      <alignment wrapText="1"/>
    </xf>
    <xf numFmtId="0" fontId="5" fillId="0" borderId="0" xfId="1" applyFont="1"/>
    <xf numFmtId="0" fontId="7" fillId="0" borderId="0" xfId="1" applyFont="1" applyAlignment="1">
      <alignment horizontal="center"/>
    </xf>
    <xf numFmtId="0" fontId="8" fillId="0" borderId="0" xfId="1" applyFont="1"/>
    <xf numFmtId="0" fontId="7" fillId="0" borderId="0" xfId="1" applyFont="1" applyAlignment="1">
      <alignment horizontal="center" wrapText="1"/>
    </xf>
    <xf numFmtId="0" fontId="7" fillId="0" borderId="0" xfId="1" applyFont="1"/>
    <xf numFmtId="0" fontId="9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vertical="top"/>
    </xf>
    <xf numFmtId="0" fontId="8" fillId="0" borderId="0" xfId="1" applyFont="1" applyAlignment="1">
      <alignment vertical="center" wrapText="1"/>
    </xf>
    <xf numFmtId="0" fontId="11" fillId="0" borderId="0" xfId="1" applyFont="1"/>
    <xf numFmtId="0" fontId="12" fillId="0" borderId="0" xfId="1" applyFont="1"/>
    <xf numFmtId="49" fontId="8" fillId="0" borderId="0" xfId="1" applyNumberFormat="1" applyFont="1"/>
    <xf numFmtId="0" fontId="8" fillId="0" borderId="0" xfId="1" applyFont="1" applyAlignment="1">
      <alignment wrapText="1"/>
    </xf>
    <xf numFmtId="0" fontId="11" fillId="0" borderId="0" xfId="1" applyFont="1" applyAlignment="1">
      <alignment vertical="top"/>
    </xf>
    <xf numFmtId="0" fontId="8" fillId="0" borderId="0" xfId="1" applyFont="1" applyAlignment="1">
      <alignment horizontal="right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49" fontId="8" fillId="0" borderId="5" xfId="1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/>
    </xf>
    <xf numFmtId="3" fontId="8" fillId="0" borderId="5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top"/>
    </xf>
    <xf numFmtId="3" fontId="13" fillId="0" borderId="5" xfId="1" applyNumberFormat="1" applyFont="1" applyBorder="1" applyAlignment="1">
      <alignment horizontal="center" vertical="center"/>
    </xf>
    <xf numFmtId="0" fontId="12" fillId="0" borderId="0" xfId="1" applyFont="1" applyAlignment="1">
      <alignment horizontal="justify" wrapText="1"/>
    </xf>
    <xf numFmtId="0" fontId="4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13" fillId="0" borderId="0" xfId="1" applyFont="1"/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left" vertical="top"/>
    </xf>
    <xf numFmtId="49" fontId="8" fillId="0" borderId="0" xfId="1" applyNumberFormat="1" applyFont="1" applyAlignment="1">
      <alignment horizontal="left"/>
    </xf>
    <xf numFmtId="0" fontId="12" fillId="0" borderId="0" xfId="1" applyFont="1" applyAlignment="1">
      <alignment vertical="top"/>
    </xf>
    <xf numFmtId="164" fontId="13" fillId="0" borderId="0" xfId="1" applyNumberFormat="1" applyFont="1" applyAlignment="1">
      <alignment horizontal="center"/>
    </xf>
    <xf numFmtId="3" fontId="13" fillId="0" borderId="0" xfId="1" applyNumberFormat="1" applyFont="1" applyAlignment="1">
      <alignment horizontal="center"/>
    </xf>
    <xf numFmtId="0" fontId="10" fillId="0" borderId="0" xfId="1" applyFont="1" applyAlignment="1">
      <alignment horizontal="left" vertical="top"/>
    </xf>
    <xf numFmtId="0" fontId="8" fillId="0" borderId="0" xfId="1" applyFont="1" applyAlignment="1">
      <alignment vertical="center" wrapText="1"/>
    </xf>
    <xf numFmtId="0" fontId="8" fillId="0" borderId="5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/>
    </xf>
    <xf numFmtId="0" fontId="8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top"/>
    </xf>
    <xf numFmtId="0" fontId="8" fillId="0" borderId="4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6" fillId="0" borderId="0" xfId="1" applyFont="1" applyAlignment="1">
      <alignment horizontal="right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3" applyAlignment="1">
      <alignment wrapText="1"/>
    </xf>
    <xf numFmtId="0" fontId="1" fillId="0" borderId="0" xfId="3"/>
    <xf numFmtId="0" fontId="15" fillId="0" borderId="0" xfId="3" applyFont="1"/>
  </cellXfs>
  <cellStyles count="4">
    <cellStyle name="Обычный" xfId="0" builtinId="0"/>
    <cellStyle name="Обычный 2" xfId="1" xr:uid="{DE922E38-9FEF-4A77-97DB-7CC3B29B94AA}"/>
    <cellStyle name="Обычный 4" xfId="2" xr:uid="{2726070B-8E89-4948-9BE4-F38AE89A472B}"/>
    <cellStyle name="Обычный 4 2" xfId="3" xr:uid="{184B7427-43FA-4B82-ADFF-B74327B5B6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87C-86A4-4530-BDD0-D582570FDF21}">
  <sheetPr>
    <pageSetUpPr fitToPage="1"/>
  </sheetPr>
  <dimension ref="A1:CS78"/>
  <sheetViews>
    <sheetView tabSelected="1" view="pageBreakPreview" zoomScale="120" zoomScaleNormal="100" zoomScaleSheetLayoutView="120" workbookViewId="0">
      <selection activeCell="A3" sqref="A3:H3"/>
    </sheetView>
  </sheetViews>
  <sheetFormatPr defaultColWidth="0.85546875" defaultRowHeight="12.75" x14ac:dyDescent="0.2"/>
  <cols>
    <col min="1" max="1" width="6.5703125" style="5" customWidth="1"/>
    <col min="2" max="2" width="47.28515625" style="16" customWidth="1"/>
    <col min="3" max="3" width="28" style="5" customWidth="1"/>
    <col min="4" max="4" width="13.28515625" style="35" customWidth="1"/>
    <col min="5" max="5" width="16.85546875" style="5" customWidth="1"/>
    <col min="6" max="6" width="16.7109375" style="5" customWidth="1"/>
    <col min="7" max="7" width="15.42578125" style="5" customWidth="1"/>
    <col min="8" max="8" width="11.7109375" style="5" customWidth="1"/>
    <col min="9" max="9" width="3" style="5" customWidth="1"/>
    <col min="10" max="16384" width="0.85546875" style="5"/>
  </cols>
  <sheetData>
    <row r="1" spans="1:8" s="1" customFormat="1" ht="14.25" customHeight="1" x14ac:dyDescent="0.25">
      <c r="B1" s="2"/>
      <c r="D1" s="3"/>
      <c r="G1" s="65" t="s">
        <v>0</v>
      </c>
      <c r="H1" s="65"/>
    </row>
    <row r="2" spans="1:8" s="1" customFormat="1" ht="9" customHeight="1" x14ac:dyDescent="0.25">
      <c r="B2" s="2"/>
      <c r="D2" s="3"/>
    </row>
    <row r="3" spans="1:8" ht="19.5" customHeight="1" x14ac:dyDescent="0.25">
      <c r="A3" s="66" t="s">
        <v>1</v>
      </c>
      <c r="B3" s="66"/>
      <c r="C3" s="66"/>
      <c r="D3" s="66"/>
      <c r="E3" s="66"/>
      <c r="F3" s="66"/>
      <c r="G3" s="66"/>
      <c r="H3" s="66"/>
    </row>
    <row r="4" spans="1:8" ht="17.25" customHeight="1" x14ac:dyDescent="0.25">
      <c r="A4" s="67" t="s">
        <v>2</v>
      </c>
      <c r="B4" s="67"/>
      <c r="C4" s="67"/>
      <c r="D4" s="67"/>
      <c r="E4" s="67"/>
      <c r="F4" s="67"/>
      <c r="G4" s="67"/>
      <c r="H4" s="67"/>
    </row>
    <row r="5" spans="1:8" s="7" customFormat="1" ht="8.25" customHeight="1" x14ac:dyDescent="0.25">
      <c r="A5" s="4"/>
      <c r="B5" s="6"/>
      <c r="D5" s="8"/>
      <c r="G5" s="4"/>
      <c r="H5" s="4"/>
    </row>
    <row r="6" spans="1:8" s="9" customFormat="1" ht="15" customHeight="1" x14ac:dyDescent="0.25">
      <c r="B6" s="9" t="s">
        <v>3</v>
      </c>
      <c r="C6" s="54" t="s">
        <v>4</v>
      </c>
      <c r="D6" s="54"/>
      <c r="E6" s="54"/>
      <c r="F6" s="54"/>
      <c r="G6" s="54"/>
    </row>
    <row r="7" spans="1:8" s="9" customFormat="1" ht="15" customHeight="1" x14ac:dyDescent="0.25">
      <c r="B7" s="10" t="s">
        <v>5</v>
      </c>
      <c r="C7" s="52" t="s">
        <v>6</v>
      </c>
      <c r="D7" s="52"/>
      <c r="E7" s="52"/>
      <c r="F7" s="52"/>
      <c r="G7" s="52"/>
    </row>
    <row r="8" spans="1:8" s="9" customFormat="1" ht="15" customHeight="1" x14ac:dyDescent="0.25">
      <c r="B8" s="10" t="s">
        <v>7</v>
      </c>
      <c r="C8" s="52" t="s">
        <v>8</v>
      </c>
      <c r="D8" s="52"/>
      <c r="E8" s="52"/>
      <c r="F8" s="52"/>
      <c r="G8" s="52"/>
    </row>
    <row r="9" spans="1:8" s="9" customFormat="1" ht="15" customHeight="1" x14ac:dyDescent="0.25">
      <c r="B9" s="10" t="s">
        <v>9</v>
      </c>
      <c r="C9" s="52" t="s">
        <v>8</v>
      </c>
      <c r="D9" s="52"/>
      <c r="E9" s="52"/>
      <c r="F9" s="52"/>
      <c r="G9" s="52"/>
    </row>
    <row r="10" spans="1:8" s="9" customFormat="1" ht="15" customHeight="1" x14ac:dyDescent="0.25">
      <c r="B10" s="10" t="s">
        <v>10</v>
      </c>
      <c r="C10" s="52" t="s">
        <v>11</v>
      </c>
      <c r="D10" s="52"/>
      <c r="E10" s="52"/>
      <c r="F10" s="52"/>
      <c r="G10" s="52"/>
    </row>
    <row r="11" spans="1:8" s="14" customFormat="1" ht="12.75" customHeight="1" x14ac:dyDescent="0.2">
      <c r="A11" s="11"/>
      <c r="B11" s="12"/>
      <c r="C11" s="53" t="s">
        <v>12</v>
      </c>
      <c r="D11" s="53"/>
      <c r="E11" s="53"/>
      <c r="F11" s="53"/>
      <c r="G11" s="53"/>
      <c r="H11" s="13"/>
    </row>
    <row r="12" spans="1:8" ht="15" customHeight="1" x14ac:dyDescent="0.2">
      <c r="B12" s="10" t="s">
        <v>13</v>
      </c>
      <c r="C12" s="54" t="s">
        <v>14</v>
      </c>
      <c r="D12" s="54"/>
      <c r="E12" s="54"/>
      <c r="F12" s="54"/>
      <c r="G12" s="54"/>
      <c r="H12" s="15"/>
    </row>
    <row r="13" spans="1:8" s="14" customFormat="1" ht="14.25" customHeight="1" x14ac:dyDescent="0.2">
      <c r="A13" s="5"/>
      <c r="B13" s="16"/>
      <c r="C13" s="55" t="s">
        <v>15</v>
      </c>
      <c r="D13" s="55"/>
      <c r="E13" s="55"/>
      <c r="F13" s="55"/>
      <c r="G13" s="55"/>
      <c r="H13" s="17"/>
    </row>
    <row r="14" spans="1:8" s="1" customFormat="1" ht="12" customHeight="1" x14ac:dyDescent="0.25">
      <c r="B14" s="2"/>
      <c r="D14" s="3"/>
      <c r="H14" s="18" t="s">
        <v>16</v>
      </c>
    </row>
    <row r="15" spans="1:8" s="1" customFormat="1" ht="29.25" customHeight="1" x14ac:dyDescent="0.25">
      <c r="A15" s="56" t="s">
        <v>17</v>
      </c>
      <c r="B15" s="44" t="s">
        <v>18</v>
      </c>
      <c r="C15" s="59" t="s">
        <v>19</v>
      </c>
      <c r="D15" s="62" t="s">
        <v>20</v>
      </c>
      <c r="E15" s="63"/>
      <c r="F15" s="64"/>
      <c r="G15" s="44" t="s">
        <v>21</v>
      </c>
      <c r="H15" s="44" t="s">
        <v>22</v>
      </c>
    </row>
    <row r="16" spans="1:8" s="1" customFormat="1" ht="18.75" customHeight="1" x14ac:dyDescent="0.25">
      <c r="A16" s="57"/>
      <c r="B16" s="44"/>
      <c r="C16" s="60"/>
      <c r="D16" s="45" t="s">
        <v>23</v>
      </c>
      <c r="E16" s="47" t="s">
        <v>24</v>
      </c>
      <c r="F16" s="48"/>
      <c r="G16" s="44"/>
      <c r="H16" s="44"/>
    </row>
    <row r="17" spans="1:8" ht="57.75" customHeight="1" x14ac:dyDescent="0.2">
      <c r="A17" s="58"/>
      <c r="B17" s="44"/>
      <c r="C17" s="61"/>
      <c r="D17" s="46"/>
      <c r="E17" s="19" t="s">
        <v>25</v>
      </c>
      <c r="F17" s="21" t="s">
        <v>26</v>
      </c>
      <c r="G17" s="44"/>
      <c r="H17" s="44"/>
    </row>
    <row r="18" spans="1:8" s="24" customFormat="1" ht="15.75" customHeight="1" x14ac:dyDescent="0.25">
      <c r="A18" s="19" t="s">
        <v>27</v>
      </c>
      <c r="B18" s="19">
        <v>2</v>
      </c>
      <c r="C18" s="20">
        <v>3</v>
      </c>
      <c r="D18" s="22">
        <v>4</v>
      </c>
      <c r="E18" s="23" t="s">
        <v>28</v>
      </c>
      <c r="F18" s="23" t="s">
        <v>29</v>
      </c>
      <c r="G18" s="19">
        <v>5</v>
      </c>
      <c r="H18" s="19">
        <v>6</v>
      </c>
    </row>
    <row r="19" spans="1:8" ht="15.95" customHeight="1" x14ac:dyDescent="0.2">
      <c r="A19" s="25" t="s">
        <v>30</v>
      </c>
      <c r="B19" s="26" t="s">
        <v>31</v>
      </c>
      <c r="C19" s="27" t="s">
        <v>8</v>
      </c>
      <c r="D19" s="28">
        <f>D21+D26+D28+D29</f>
        <v>13455541</v>
      </c>
      <c r="E19" s="29" t="s">
        <v>8</v>
      </c>
      <c r="F19" s="29" t="s">
        <v>8</v>
      </c>
      <c r="G19" s="29" t="s">
        <v>8</v>
      </c>
      <c r="H19" s="29" t="s">
        <v>8</v>
      </c>
    </row>
    <row r="20" spans="1:8" ht="15.95" customHeight="1" x14ac:dyDescent="0.2">
      <c r="A20" s="25"/>
      <c r="B20" s="26" t="s">
        <v>32</v>
      </c>
      <c r="C20" s="27"/>
      <c r="D20" s="28"/>
      <c r="E20" s="29" t="s">
        <v>8</v>
      </c>
      <c r="F20" s="29" t="s">
        <v>8</v>
      </c>
      <c r="G20" s="29" t="s">
        <v>8</v>
      </c>
      <c r="H20" s="29" t="s">
        <v>8</v>
      </c>
    </row>
    <row r="21" spans="1:8" ht="30" customHeight="1" x14ac:dyDescent="0.2">
      <c r="A21" s="25" t="s">
        <v>33</v>
      </c>
      <c r="B21" s="26" t="s">
        <v>34</v>
      </c>
      <c r="C21" s="27" t="s">
        <v>8</v>
      </c>
      <c r="D21" s="28">
        <v>12112581</v>
      </c>
      <c r="E21" s="29" t="s">
        <v>8</v>
      </c>
      <c r="F21" s="29" t="s">
        <v>8</v>
      </c>
      <c r="G21" s="29" t="s">
        <v>8</v>
      </c>
      <c r="H21" s="29" t="s">
        <v>8</v>
      </c>
    </row>
    <row r="22" spans="1:8" ht="15.95" customHeight="1" x14ac:dyDescent="0.2">
      <c r="A22" s="25" t="s">
        <v>35</v>
      </c>
      <c r="B22" s="26" t="s">
        <v>36</v>
      </c>
      <c r="C22" s="27" t="s">
        <v>8</v>
      </c>
      <c r="D22" s="28" t="s">
        <v>8</v>
      </c>
      <c r="E22" s="29" t="s">
        <v>8</v>
      </c>
      <c r="F22" s="29" t="s">
        <v>8</v>
      </c>
      <c r="G22" s="29" t="s">
        <v>8</v>
      </c>
      <c r="H22" s="29" t="s">
        <v>8</v>
      </c>
    </row>
    <row r="23" spans="1:8" ht="15.95" customHeight="1" x14ac:dyDescent="0.2">
      <c r="A23" s="25" t="s">
        <v>37</v>
      </c>
      <c r="B23" s="26" t="s">
        <v>38</v>
      </c>
      <c r="C23" s="27" t="s">
        <v>8</v>
      </c>
      <c r="D23" s="28" t="s">
        <v>8</v>
      </c>
      <c r="E23" s="29" t="s">
        <v>8</v>
      </c>
      <c r="F23" s="29" t="s">
        <v>8</v>
      </c>
      <c r="G23" s="29" t="s">
        <v>8</v>
      </c>
      <c r="H23" s="29" t="s">
        <v>8</v>
      </c>
    </row>
    <row r="24" spans="1:8" ht="15.95" customHeight="1" x14ac:dyDescent="0.2">
      <c r="A24" s="25" t="s">
        <v>39</v>
      </c>
      <c r="B24" s="26" t="s">
        <v>40</v>
      </c>
      <c r="C24" s="27" t="s">
        <v>8</v>
      </c>
      <c r="D24" s="28" t="s">
        <v>8</v>
      </c>
      <c r="E24" s="29" t="s">
        <v>8</v>
      </c>
      <c r="F24" s="29" t="s">
        <v>8</v>
      </c>
      <c r="G24" s="29" t="s">
        <v>8</v>
      </c>
      <c r="H24" s="29" t="s">
        <v>8</v>
      </c>
    </row>
    <row r="25" spans="1:8" ht="26.25" customHeight="1" x14ac:dyDescent="0.2">
      <c r="A25" s="25" t="s">
        <v>41</v>
      </c>
      <c r="B25" s="26" t="s">
        <v>42</v>
      </c>
      <c r="C25" s="27" t="s">
        <v>8</v>
      </c>
      <c r="D25" s="28" t="s">
        <v>8</v>
      </c>
      <c r="E25" s="29" t="s">
        <v>8</v>
      </c>
      <c r="F25" s="29" t="s">
        <v>8</v>
      </c>
      <c r="G25" s="29" t="s">
        <v>8</v>
      </c>
      <c r="H25" s="29" t="s">
        <v>8</v>
      </c>
    </row>
    <row r="26" spans="1:8" ht="15.95" customHeight="1" x14ac:dyDescent="0.2">
      <c r="A26" s="25" t="s">
        <v>43</v>
      </c>
      <c r="B26" s="26" t="s">
        <v>44</v>
      </c>
      <c r="C26" s="27" t="s">
        <v>8</v>
      </c>
      <c r="D26" s="28">
        <v>145746</v>
      </c>
      <c r="E26" s="29" t="s">
        <v>8</v>
      </c>
      <c r="F26" s="29" t="s">
        <v>8</v>
      </c>
      <c r="G26" s="29" t="s">
        <v>8</v>
      </c>
      <c r="H26" s="29" t="s">
        <v>8</v>
      </c>
    </row>
    <row r="27" spans="1:8" ht="15.95" customHeight="1" x14ac:dyDescent="0.2">
      <c r="A27" s="25" t="s">
        <v>45</v>
      </c>
      <c r="B27" s="26" t="s">
        <v>46</v>
      </c>
      <c r="C27" s="27" t="s">
        <v>8</v>
      </c>
      <c r="D27" s="28" t="s">
        <v>8</v>
      </c>
      <c r="E27" s="29" t="s">
        <v>8</v>
      </c>
      <c r="F27" s="29" t="s">
        <v>8</v>
      </c>
      <c r="G27" s="29" t="s">
        <v>8</v>
      </c>
      <c r="H27" s="29" t="s">
        <v>8</v>
      </c>
    </row>
    <row r="28" spans="1:8" ht="15.95" customHeight="1" x14ac:dyDescent="0.2">
      <c r="A28" s="25" t="s">
        <v>47</v>
      </c>
      <c r="B28" s="26" t="s">
        <v>48</v>
      </c>
      <c r="C28" s="27" t="s">
        <v>8</v>
      </c>
      <c r="D28" s="28">
        <v>1164272</v>
      </c>
      <c r="E28" s="29" t="s">
        <v>8</v>
      </c>
      <c r="F28" s="29" t="s">
        <v>8</v>
      </c>
      <c r="G28" s="29" t="s">
        <v>8</v>
      </c>
      <c r="H28" s="29" t="s">
        <v>8</v>
      </c>
    </row>
    <row r="29" spans="1:8" ht="15.95" customHeight="1" x14ac:dyDescent="0.2">
      <c r="A29" s="25" t="s">
        <v>49</v>
      </c>
      <c r="B29" s="26" t="s">
        <v>50</v>
      </c>
      <c r="C29" s="27" t="s">
        <v>8</v>
      </c>
      <c r="D29" s="28">
        <v>32942</v>
      </c>
      <c r="E29" s="29" t="s">
        <v>8</v>
      </c>
      <c r="F29" s="29" t="s">
        <v>8</v>
      </c>
      <c r="G29" s="29" t="s">
        <v>8</v>
      </c>
      <c r="H29" s="29" t="s">
        <v>8</v>
      </c>
    </row>
    <row r="30" spans="1:8" ht="15.95" customHeight="1" x14ac:dyDescent="0.2">
      <c r="A30" s="25" t="s">
        <v>51</v>
      </c>
      <c r="B30" s="26" t="s">
        <v>52</v>
      </c>
      <c r="C30" s="27" t="s">
        <v>8</v>
      </c>
      <c r="D30" s="28" t="s">
        <v>8</v>
      </c>
      <c r="E30" s="29" t="s">
        <v>8</v>
      </c>
      <c r="F30" s="29" t="s">
        <v>8</v>
      </c>
      <c r="G30" s="29" t="s">
        <v>8</v>
      </c>
      <c r="H30" s="29" t="s">
        <v>8</v>
      </c>
    </row>
    <row r="31" spans="1:8" ht="15.95" customHeight="1" x14ac:dyDescent="0.2">
      <c r="A31" s="25" t="s">
        <v>53</v>
      </c>
      <c r="B31" s="26" t="s">
        <v>54</v>
      </c>
      <c r="C31" s="27" t="s">
        <v>8</v>
      </c>
      <c r="D31" s="28">
        <f>D33+D34</f>
        <v>596309</v>
      </c>
      <c r="E31" s="29" t="s">
        <v>8</v>
      </c>
      <c r="F31" s="29" t="s">
        <v>8</v>
      </c>
      <c r="G31" s="29" t="s">
        <v>8</v>
      </c>
      <c r="H31" s="29" t="s">
        <v>8</v>
      </c>
    </row>
    <row r="32" spans="1:8" ht="15.95" customHeight="1" x14ac:dyDescent="0.2">
      <c r="A32" s="25"/>
      <c r="B32" s="26" t="s">
        <v>32</v>
      </c>
      <c r="C32" s="27" t="s">
        <v>8</v>
      </c>
      <c r="D32" s="28"/>
      <c r="E32" s="29" t="s">
        <v>8</v>
      </c>
      <c r="F32" s="29" t="s">
        <v>8</v>
      </c>
      <c r="G32" s="29" t="s">
        <v>8</v>
      </c>
      <c r="H32" s="29" t="s">
        <v>8</v>
      </c>
    </row>
    <row r="33" spans="1:97" ht="15.95" customHeight="1" x14ac:dyDescent="0.2">
      <c r="A33" s="25" t="s">
        <v>55</v>
      </c>
      <c r="B33" s="26" t="s">
        <v>56</v>
      </c>
      <c r="C33" s="27" t="s">
        <v>8</v>
      </c>
      <c r="D33" s="28">
        <v>536732</v>
      </c>
      <c r="E33" s="29" t="s">
        <v>8</v>
      </c>
      <c r="F33" s="29" t="s">
        <v>8</v>
      </c>
      <c r="G33" s="29" t="s">
        <v>8</v>
      </c>
      <c r="H33" s="29" t="s">
        <v>8</v>
      </c>
    </row>
    <row r="34" spans="1:97" ht="15.95" customHeight="1" x14ac:dyDescent="0.2">
      <c r="A34" s="25" t="s">
        <v>57</v>
      </c>
      <c r="B34" s="26" t="s">
        <v>58</v>
      </c>
      <c r="C34" s="27" t="s">
        <v>8</v>
      </c>
      <c r="D34" s="28">
        <v>59577</v>
      </c>
      <c r="E34" s="29" t="s">
        <v>8</v>
      </c>
      <c r="F34" s="29" t="s">
        <v>8</v>
      </c>
      <c r="G34" s="29" t="s">
        <v>8</v>
      </c>
      <c r="H34" s="29" t="s">
        <v>8</v>
      </c>
    </row>
    <row r="35" spans="1:97" ht="24.75" customHeight="1" x14ac:dyDescent="0.2">
      <c r="A35" s="25" t="s">
        <v>59</v>
      </c>
      <c r="B35" s="26" t="s">
        <v>60</v>
      </c>
      <c r="C35" s="27" t="s">
        <v>8</v>
      </c>
      <c r="D35" s="28">
        <v>183067</v>
      </c>
      <c r="E35" s="29" t="s">
        <v>8</v>
      </c>
      <c r="F35" s="29" t="s">
        <v>8</v>
      </c>
      <c r="G35" s="29" t="s">
        <v>8</v>
      </c>
      <c r="H35" s="29" t="s">
        <v>8</v>
      </c>
    </row>
    <row r="36" spans="1:97" ht="15.95" customHeight="1" x14ac:dyDescent="0.2">
      <c r="A36" s="25" t="s">
        <v>61</v>
      </c>
      <c r="B36" s="26" t="s">
        <v>62</v>
      </c>
      <c r="C36" s="27" t="s">
        <v>8</v>
      </c>
      <c r="D36" s="28" t="s">
        <v>8</v>
      </c>
      <c r="E36" s="29" t="s">
        <v>8</v>
      </c>
      <c r="F36" s="29" t="s">
        <v>8</v>
      </c>
      <c r="G36" s="29" t="s">
        <v>8</v>
      </c>
      <c r="H36" s="29" t="s">
        <v>8</v>
      </c>
    </row>
    <row r="37" spans="1:97" ht="15.95" customHeight="1" x14ac:dyDescent="0.2">
      <c r="A37" s="25"/>
      <c r="B37" s="26" t="s">
        <v>32</v>
      </c>
      <c r="C37" s="27" t="s">
        <v>8</v>
      </c>
      <c r="D37" s="28" t="s">
        <v>8</v>
      </c>
      <c r="E37" s="29" t="s">
        <v>8</v>
      </c>
      <c r="F37" s="29" t="s">
        <v>8</v>
      </c>
      <c r="G37" s="29" t="s">
        <v>8</v>
      </c>
      <c r="H37" s="29" t="s">
        <v>8</v>
      </c>
    </row>
    <row r="38" spans="1:97" ht="15.95" customHeight="1" x14ac:dyDescent="0.25">
      <c r="A38" s="25" t="s">
        <v>63</v>
      </c>
      <c r="B38" s="26" t="s">
        <v>64</v>
      </c>
      <c r="C38" s="27" t="s">
        <v>8</v>
      </c>
      <c r="D38" s="30" t="s">
        <v>8</v>
      </c>
      <c r="E38" s="29" t="s">
        <v>8</v>
      </c>
      <c r="F38" s="29" t="s">
        <v>8</v>
      </c>
      <c r="G38" s="29" t="s">
        <v>8</v>
      </c>
      <c r="H38" s="29" t="s">
        <v>8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spans="1:97" ht="29.25" customHeight="1" x14ac:dyDescent="0.25">
      <c r="A39" s="25" t="s">
        <v>65</v>
      </c>
      <c r="B39" s="26" t="s">
        <v>66</v>
      </c>
      <c r="C39" s="27" t="s">
        <v>8</v>
      </c>
      <c r="D39" s="30" t="s">
        <v>8</v>
      </c>
      <c r="E39" s="29" t="s">
        <v>8</v>
      </c>
      <c r="F39" s="29" t="s">
        <v>8</v>
      </c>
      <c r="G39" s="29" t="s">
        <v>8</v>
      </c>
      <c r="H39" s="29" t="s">
        <v>8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spans="1:97" ht="15.95" customHeight="1" x14ac:dyDescent="0.25">
      <c r="A40" s="25" t="s">
        <v>67</v>
      </c>
      <c r="B40" s="26" t="s">
        <v>68</v>
      </c>
      <c r="C40" s="27" t="s">
        <v>8</v>
      </c>
      <c r="D40" s="30" t="s">
        <v>8</v>
      </c>
      <c r="E40" s="29" t="s">
        <v>8</v>
      </c>
      <c r="F40" s="29" t="s">
        <v>8</v>
      </c>
      <c r="G40" s="29" t="s">
        <v>8</v>
      </c>
      <c r="H40" s="29" t="s">
        <v>8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spans="1:97" ht="29.25" customHeight="1" x14ac:dyDescent="0.25">
      <c r="A41" s="25" t="s">
        <v>69</v>
      </c>
      <c r="B41" s="26" t="s">
        <v>70</v>
      </c>
      <c r="C41" s="27" t="s">
        <v>8</v>
      </c>
      <c r="D41" s="30" t="s">
        <v>8</v>
      </c>
      <c r="E41" s="29" t="s">
        <v>8</v>
      </c>
      <c r="F41" s="29" t="s">
        <v>8</v>
      </c>
      <c r="G41" s="29" t="s">
        <v>8</v>
      </c>
      <c r="H41" s="29" t="s">
        <v>8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spans="1:97" ht="15.95" customHeight="1" x14ac:dyDescent="0.25">
      <c r="A42" s="25" t="s">
        <v>71</v>
      </c>
      <c r="B42" s="26" t="s">
        <v>72</v>
      </c>
      <c r="C42" s="27" t="s">
        <v>8</v>
      </c>
      <c r="D42" s="28" t="s">
        <v>8</v>
      </c>
      <c r="E42" s="29" t="s">
        <v>8</v>
      </c>
      <c r="F42" s="29" t="s">
        <v>8</v>
      </c>
      <c r="G42" s="29" t="s">
        <v>8</v>
      </c>
      <c r="H42" s="29" t="s">
        <v>8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 ht="15.95" customHeight="1" x14ac:dyDescent="0.2">
      <c r="A43" s="25" t="s">
        <v>73</v>
      </c>
      <c r="B43" s="26" t="s">
        <v>74</v>
      </c>
      <c r="C43" s="27" t="s">
        <v>8</v>
      </c>
      <c r="D43" s="28">
        <v>2803888</v>
      </c>
      <c r="E43" s="29" t="s">
        <v>8</v>
      </c>
      <c r="F43" s="29" t="s">
        <v>8</v>
      </c>
      <c r="G43" s="29" t="s">
        <v>8</v>
      </c>
      <c r="H43" s="29" t="s">
        <v>8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</row>
    <row r="44" spans="1:97" ht="15.95" customHeight="1" x14ac:dyDescent="0.2">
      <c r="A44" s="25" t="s">
        <v>75</v>
      </c>
      <c r="B44" s="26" t="s">
        <v>76</v>
      </c>
      <c r="C44" s="27" t="s">
        <v>8</v>
      </c>
      <c r="D44" s="28">
        <v>1602682</v>
      </c>
      <c r="E44" s="29" t="s">
        <v>8</v>
      </c>
      <c r="F44" s="29" t="s">
        <v>8</v>
      </c>
      <c r="G44" s="29" t="s">
        <v>8</v>
      </c>
      <c r="H44" s="29" t="s">
        <v>8</v>
      </c>
    </row>
    <row r="45" spans="1:97" ht="15.95" customHeight="1" x14ac:dyDescent="0.2">
      <c r="A45" s="25" t="s">
        <v>77</v>
      </c>
      <c r="B45" s="26" t="s">
        <v>78</v>
      </c>
      <c r="C45" s="27" t="s">
        <v>8</v>
      </c>
      <c r="D45" s="28" t="s">
        <v>8</v>
      </c>
      <c r="E45" s="29" t="s">
        <v>8</v>
      </c>
      <c r="F45" s="29" t="s">
        <v>8</v>
      </c>
      <c r="G45" s="29" t="s">
        <v>8</v>
      </c>
      <c r="H45" s="29" t="s">
        <v>8</v>
      </c>
    </row>
    <row r="46" spans="1:97" ht="15.95" customHeight="1" x14ac:dyDescent="0.2">
      <c r="A46" s="25" t="s">
        <v>79</v>
      </c>
      <c r="B46" s="26" t="s">
        <v>80</v>
      </c>
      <c r="C46" s="27" t="s">
        <v>8</v>
      </c>
      <c r="D46" s="28" t="s">
        <v>8</v>
      </c>
      <c r="E46" s="29" t="s">
        <v>8</v>
      </c>
      <c r="F46" s="29" t="s">
        <v>8</v>
      </c>
      <c r="G46" s="29" t="s">
        <v>8</v>
      </c>
      <c r="H46" s="29" t="s">
        <v>8</v>
      </c>
    </row>
    <row r="47" spans="1:97" ht="28.5" customHeight="1" x14ac:dyDescent="0.2">
      <c r="A47" s="25" t="s">
        <v>81</v>
      </c>
      <c r="B47" s="26" t="s">
        <v>82</v>
      </c>
      <c r="C47" s="27" t="s">
        <v>8</v>
      </c>
      <c r="D47" s="28" t="s">
        <v>8</v>
      </c>
      <c r="E47" s="29" t="s">
        <v>8</v>
      </c>
      <c r="F47" s="29" t="s">
        <v>8</v>
      </c>
      <c r="G47" s="29" t="s">
        <v>8</v>
      </c>
      <c r="H47" s="29" t="s">
        <v>8</v>
      </c>
    </row>
    <row r="48" spans="1:97" ht="15.95" customHeight="1" x14ac:dyDescent="0.2">
      <c r="A48" s="25" t="s">
        <v>83</v>
      </c>
      <c r="B48" s="26" t="s">
        <v>84</v>
      </c>
      <c r="C48" s="27" t="s">
        <v>8</v>
      </c>
      <c r="D48" s="31">
        <f>D19+D31+D35+D43+D44</f>
        <v>18641487</v>
      </c>
      <c r="E48" s="29" t="s">
        <v>8</v>
      </c>
      <c r="F48" s="29" t="s">
        <v>8</v>
      </c>
      <c r="G48" s="29" t="s">
        <v>8</v>
      </c>
      <c r="H48" s="29" t="s">
        <v>8</v>
      </c>
    </row>
    <row r="49" spans="1:69" ht="15.95" customHeight="1" x14ac:dyDescent="0.2">
      <c r="A49" s="25" t="s">
        <v>85</v>
      </c>
      <c r="B49" s="26" t="s">
        <v>86</v>
      </c>
      <c r="C49" s="27" t="s">
        <v>8</v>
      </c>
      <c r="D49" s="31" t="s">
        <v>8</v>
      </c>
      <c r="E49" s="29" t="s">
        <v>8</v>
      </c>
      <c r="F49" s="29" t="s">
        <v>8</v>
      </c>
      <c r="G49" s="29" t="s">
        <v>8</v>
      </c>
      <c r="H49" s="29" t="s">
        <v>8</v>
      </c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spans="1:69" ht="15.95" customHeight="1" x14ac:dyDescent="0.2">
      <c r="A50" s="25" t="s">
        <v>87</v>
      </c>
      <c r="B50" s="26" t="s">
        <v>88</v>
      </c>
      <c r="C50" s="27" t="s">
        <v>8</v>
      </c>
      <c r="D50" s="31" t="s">
        <v>8</v>
      </c>
      <c r="E50" s="29" t="s">
        <v>8</v>
      </c>
      <c r="F50" s="29" t="s">
        <v>8</v>
      </c>
      <c r="G50" s="29" t="s">
        <v>8</v>
      </c>
      <c r="H50" s="29" t="s">
        <v>8</v>
      </c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</row>
    <row r="51" spans="1:69" ht="15.95" customHeight="1" x14ac:dyDescent="0.2">
      <c r="A51" s="25" t="s">
        <v>89</v>
      </c>
      <c r="B51" s="26" t="s">
        <v>90</v>
      </c>
      <c r="C51" s="27" t="s">
        <v>8</v>
      </c>
      <c r="D51" s="28" t="s">
        <v>8</v>
      </c>
      <c r="E51" s="29" t="s">
        <v>8</v>
      </c>
      <c r="F51" s="29" t="s">
        <v>8</v>
      </c>
      <c r="G51" s="29" t="s">
        <v>8</v>
      </c>
      <c r="H51" s="29" t="s">
        <v>8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</row>
    <row r="52" spans="1:69" s="9" customFormat="1" ht="15.95" customHeight="1" x14ac:dyDescent="0.2">
      <c r="A52" s="25" t="s">
        <v>91</v>
      </c>
      <c r="B52" s="26" t="s">
        <v>92</v>
      </c>
      <c r="C52" s="27" t="s">
        <v>8</v>
      </c>
      <c r="D52" s="31">
        <f>D48</f>
        <v>18641487</v>
      </c>
      <c r="E52" s="29" t="s">
        <v>8</v>
      </c>
      <c r="F52" s="29" t="s">
        <v>8</v>
      </c>
      <c r="G52" s="29" t="s">
        <v>8</v>
      </c>
      <c r="H52" s="29" t="s">
        <v>8</v>
      </c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</row>
    <row r="53" spans="1:69" s="9" customFormat="1" ht="15.95" customHeight="1" x14ac:dyDescent="0.2">
      <c r="A53" s="25"/>
      <c r="B53" s="26" t="s">
        <v>32</v>
      </c>
      <c r="C53" s="27" t="s">
        <v>8</v>
      </c>
      <c r="D53" s="31"/>
      <c r="E53" s="29" t="s">
        <v>8</v>
      </c>
      <c r="F53" s="29" t="s">
        <v>8</v>
      </c>
      <c r="G53" s="29" t="s">
        <v>8</v>
      </c>
      <c r="H53" s="29" t="s">
        <v>8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</row>
    <row r="54" spans="1:69" s="9" customFormat="1" ht="15.95" customHeight="1" x14ac:dyDescent="0.2">
      <c r="A54" s="25"/>
      <c r="B54" s="26" t="s">
        <v>93</v>
      </c>
      <c r="C54" s="27" t="s">
        <v>8</v>
      </c>
      <c r="D54" s="31">
        <f>D21+D29</f>
        <v>12145523</v>
      </c>
      <c r="E54" s="29" t="s">
        <v>8</v>
      </c>
      <c r="F54" s="29" t="s">
        <v>8</v>
      </c>
      <c r="G54" s="29" t="s">
        <v>8</v>
      </c>
      <c r="H54" s="29" t="s">
        <v>8</v>
      </c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</row>
    <row r="55" spans="1:69" s="9" customFormat="1" ht="15.95" customHeight="1" x14ac:dyDescent="0.2">
      <c r="A55" s="25"/>
      <c r="B55" s="26" t="s">
        <v>94</v>
      </c>
      <c r="C55" s="27" t="s">
        <v>8</v>
      </c>
      <c r="D55" s="31">
        <f>D26+D28+D31+D35+D43+D44</f>
        <v>6495964</v>
      </c>
      <c r="E55" s="29" t="s">
        <v>8</v>
      </c>
      <c r="F55" s="29" t="s">
        <v>8</v>
      </c>
      <c r="G55" s="29" t="s">
        <v>8</v>
      </c>
      <c r="H55" s="29" t="s">
        <v>8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</row>
    <row r="56" spans="1:69" ht="15.95" customHeight="1" x14ac:dyDescent="0.2">
      <c r="A56" s="25" t="s">
        <v>95</v>
      </c>
      <c r="B56" s="26" t="s">
        <v>96</v>
      </c>
      <c r="C56" s="27" t="s">
        <v>8</v>
      </c>
      <c r="D56" s="28">
        <f>D57-D52</f>
        <v>900971</v>
      </c>
      <c r="E56" s="29" t="s">
        <v>97</v>
      </c>
      <c r="F56" s="29" t="s">
        <v>97</v>
      </c>
      <c r="G56" s="29" t="s">
        <v>8</v>
      </c>
      <c r="H56" s="29" t="s">
        <v>8</v>
      </c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</row>
    <row r="57" spans="1:69" ht="15.95" customHeight="1" x14ac:dyDescent="0.2">
      <c r="A57" s="25" t="s">
        <v>98</v>
      </c>
      <c r="B57" s="26" t="s">
        <v>99</v>
      </c>
      <c r="C57" s="27" t="s">
        <v>8</v>
      </c>
      <c r="D57" s="28">
        <v>19542458</v>
      </c>
      <c r="E57" s="29" t="s">
        <v>97</v>
      </c>
      <c r="F57" s="29" t="s">
        <v>97</v>
      </c>
      <c r="G57" s="29" t="s">
        <v>8</v>
      </c>
      <c r="H57" s="29" t="s">
        <v>8</v>
      </c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</row>
    <row r="58" spans="1:69" ht="15.95" customHeight="1" x14ac:dyDescent="0.25">
      <c r="A58" s="25"/>
      <c r="B58" s="26" t="s">
        <v>100</v>
      </c>
      <c r="C58" s="27" t="s">
        <v>8</v>
      </c>
      <c r="D58" s="28">
        <v>1199</v>
      </c>
      <c r="E58" s="29" t="s">
        <v>8</v>
      </c>
      <c r="F58" s="29" t="s">
        <v>8</v>
      </c>
      <c r="G58" s="29" t="s">
        <v>8</v>
      </c>
      <c r="H58" s="29" t="s">
        <v>8</v>
      </c>
      <c r="AB58" s="1"/>
      <c r="AC58" s="1"/>
      <c r="AD58" s="1"/>
      <c r="AE58" s="1"/>
      <c r="AF58" s="1"/>
      <c r="AG58" s="1"/>
      <c r="AH58" s="1"/>
      <c r="AI58" s="1"/>
      <c r="AJ58" s="1"/>
      <c r="AK58" s="33"/>
      <c r="AL58" s="33"/>
      <c r="AM58" s="33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69" ht="16.5" customHeight="1" x14ac:dyDescent="0.25">
      <c r="B59" s="68"/>
      <c r="C59" s="69"/>
      <c r="D59" s="70"/>
      <c r="E59" s="69"/>
      <c r="F59" s="69"/>
      <c r="G59" s="69"/>
      <c r="H59" s="69"/>
      <c r="AK59" s="34"/>
      <c r="AL59" s="34"/>
      <c r="AM59" s="34"/>
    </row>
    <row r="60" spans="1:69" ht="18" customHeight="1" x14ac:dyDescent="0.2">
      <c r="B60" s="12"/>
      <c r="E60" s="49" t="s">
        <v>101</v>
      </c>
      <c r="F60" s="49"/>
      <c r="G60" s="49"/>
      <c r="H60" s="49"/>
      <c r="AK60" s="34"/>
      <c r="AL60" s="34"/>
      <c r="AM60" s="34"/>
    </row>
    <row r="61" spans="1:69" ht="16.5" customHeight="1" x14ac:dyDescent="0.2">
      <c r="B61" s="50"/>
      <c r="C61" s="50"/>
      <c r="D61" s="36"/>
      <c r="E61" s="51" t="s">
        <v>102</v>
      </c>
      <c r="F61" s="51"/>
      <c r="G61" s="51"/>
      <c r="AK61" s="34"/>
      <c r="AL61" s="34"/>
      <c r="AM61" s="34"/>
    </row>
    <row r="62" spans="1:69" ht="18" customHeight="1" x14ac:dyDescent="0.25">
      <c r="B62" s="37"/>
      <c r="C62" s="11"/>
      <c r="D62" s="3"/>
      <c r="E62" s="42" t="s">
        <v>103</v>
      </c>
      <c r="F62" s="42"/>
      <c r="G62" s="11"/>
      <c r="H62" s="11"/>
      <c r="AK62" s="34"/>
      <c r="AL62" s="34"/>
      <c r="AM62" s="34"/>
    </row>
    <row r="63" spans="1:69" ht="15" customHeight="1" x14ac:dyDescent="0.25">
      <c r="B63" s="5"/>
      <c r="C63" s="1"/>
      <c r="D63" s="3"/>
      <c r="E63" s="38" t="s">
        <v>104</v>
      </c>
      <c r="F63" s="1"/>
      <c r="G63" s="15"/>
      <c r="AK63" s="34"/>
      <c r="AL63" s="34"/>
      <c r="AM63" s="34"/>
    </row>
    <row r="64" spans="1:69" ht="6.75" customHeight="1" x14ac:dyDescent="0.25">
      <c r="B64" s="68"/>
      <c r="C64" s="69"/>
      <c r="D64" s="70"/>
      <c r="E64" s="69"/>
      <c r="F64" s="69"/>
      <c r="G64" s="69"/>
      <c r="H64" s="69"/>
      <c r="AK64" s="34"/>
      <c r="AL64" s="34"/>
      <c r="AM64" s="34"/>
    </row>
    <row r="65" spans="1:69" s="14" customFormat="1" ht="17.25" customHeight="1" x14ac:dyDescent="0.2">
      <c r="A65" s="43"/>
      <c r="B65" s="43"/>
      <c r="C65" s="43"/>
      <c r="D65" s="43"/>
      <c r="E65" s="43"/>
      <c r="F65" s="43"/>
      <c r="G65" s="43"/>
      <c r="H65" s="43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</row>
    <row r="66" spans="1:69" ht="10.5" customHeight="1" x14ac:dyDescent="0.2"/>
    <row r="67" spans="1:69" x14ac:dyDescent="0.2">
      <c r="C67" s="40"/>
      <c r="D67" s="40">
        <f>D56/D52</f>
        <v>4.8000000000000001E-2</v>
      </c>
    </row>
    <row r="68" spans="1:69" x14ac:dyDescent="0.2">
      <c r="C68" s="41"/>
      <c r="D68" s="41">
        <f>SUM(D54:D55)</f>
        <v>18641487</v>
      </c>
    </row>
    <row r="78" spans="1:69" x14ac:dyDescent="0.2">
      <c r="E78" s="5" t="s">
        <v>105</v>
      </c>
    </row>
  </sheetData>
  <mergeCells count="24">
    <mergeCell ref="E62:F62"/>
    <mergeCell ref="A65:H65"/>
    <mergeCell ref="H15:H17"/>
    <mergeCell ref="D16:D17"/>
    <mergeCell ref="E16:F16"/>
    <mergeCell ref="E60:H60"/>
    <mergeCell ref="B61:C61"/>
    <mergeCell ref="E61:G61"/>
    <mergeCell ref="C9:G9"/>
    <mergeCell ref="C10:G10"/>
    <mergeCell ref="C11:G11"/>
    <mergeCell ref="C12:G12"/>
    <mergeCell ref="C13:G13"/>
    <mergeCell ref="A15:A17"/>
    <mergeCell ref="B15:B17"/>
    <mergeCell ref="C15:C17"/>
    <mergeCell ref="D15:F15"/>
    <mergeCell ref="G15:G17"/>
    <mergeCell ref="G1:H1"/>
    <mergeCell ref="A3:H3"/>
    <mergeCell ref="A4:H4"/>
    <mergeCell ref="C6:G6"/>
    <mergeCell ref="C7:G7"/>
    <mergeCell ref="C8:G8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3" firstPageNumber="3" fitToHeight="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ф2 </vt:lpstr>
      <vt:lpstr>'ф2 '!_ftn1</vt:lpstr>
      <vt:lpstr>'ф2 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Дубина И.Ю.</dc:creator>
  <cp:lastModifiedBy>Дубина И.Ю.</cp:lastModifiedBy>
  <dcterms:created xsi:type="dcterms:W3CDTF">2015-06-05T18:19:34Z</dcterms:created>
  <dcterms:modified xsi:type="dcterms:W3CDTF">2023-10-23T10:24:52Z</dcterms:modified>
</cp:coreProperties>
</file>